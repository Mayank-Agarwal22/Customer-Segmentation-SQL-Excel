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0ba6843b16c3e85/Desktop/dashboard/"/>
    </mc:Choice>
  </mc:AlternateContent>
  <xr:revisionPtr revIDLastSave="0" documentId="14_{9BEB35AB-4284-4663-8D0F-CD933EF340EF}" xr6:coauthVersionLast="47" xr6:coauthVersionMax="47" xr10:uidLastSave="{00000000-0000-0000-0000-000000000000}"/>
  <bookViews>
    <workbookView xWindow="-108" yWindow="-108" windowWidth="23256" windowHeight="12456" firstSheet="5" activeTab="11" xr2:uid="{757F975E-5CA4-45BF-B1B8-5B474603352E}"/>
  </bookViews>
  <sheets>
    <sheet name="Data_Source" sheetId="1" r:id="rId1"/>
    <sheet name="Sheet7" sheetId="7" r:id="rId2"/>
    <sheet name="Sheet1" sheetId="11" r:id="rId3"/>
    <sheet name="Segments" sheetId="3" r:id="rId4"/>
    <sheet name="Sheet8" sheetId="8" r:id="rId5"/>
    <sheet name="Sheet10" sheetId="10" r:id="rId6"/>
    <sheet name="States" sheetId="4" r:id="rId7"/>
    <sheet name="Sheet9" sheetId="9" r:id="rId8"/>
    <sheet name="Sheet2" sheetId="12" r:id="rId9"/>
    <sheet name="Region" sheetId="5" r:id="rId10"/>
    <sheet name="Sheet6" sheetId="6" r:id="rId11"/>
    <sheet name="Dashboard" sheetId="2" r:id="rId12"/>
  </sheets>
  <definedNames>
    <definedName name="Slicer_region1">#N/A</definedName>
  </definedNames>
  <calcPr calcId="191029"/>
  <pivotCaches>
    <pivotCache cacheId="3" r:id="rId13"/>
    <pivotCache cacheId="4" r:id="rId14"/>
    <pivotCache cacheId="2"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<sst xmlns="http://schemas.openxmlformats.org/spreadsheetml/2006/main" count="159" uniqueCount="31">
  <si>
    <t>customer_segment</t>
  </si>
  <si>
    <t>Total_customer</t>
  </si>
  <si>
    <t>round(avg(customer_age),1)</t>
  </si>
  <si>
    <t>Consumer</t>
  </si>
  <si>
    <t>Premium</t>
  </si>
  <si>
    <t>VIP</t>
  </si>
  <si>
    <t>Business</t>
  </si>
  <si>
    <t>region</t>
  </si>
  <si>
    <t>South</t>
  </si>
  <si>
    <t>Central</t>
  </si>
  <si>
    <t>West</t>
  </si>
  <si>
    <t>East</t>
  </si>
  <si>
    <t>North</t>
  </si>
  <si>
    <t>gender</t>
  </si>
  <si>
    <t>customer_state</t>
  </si>
  <si>
    <t>Female</t>
  </si>
  <si>
    <t>Pennsylvania</t>
  </si>
  <si>
    <t>Male</t>
  </si>
  <si>
    <t>Georgia</t>
  </si>
  <si>
    <t>California</t>
  </si>
  <si>
    <t>Ohio</t>
  </si>
  <si>
    <t>Michigan</t>
  </si>
  <si>
    <t>New York</t>
  </si>
  <si>
    <t>Row Labels</t>
  </si>
  <si>
    <t>Grand Total</t>
  </si>
  <si>
    <t>Sum of Total_customer</t>
  </si>
  <si>
    <t>Sum of round(avg(customer_age),1)</t>
  </si>
  <si>
    <t>Count of gender</t>
  </si>
  <si>
    <t>Column Labels</t>
  </si>
  <si>
    <t>Total Count of gender</t>
  </si>
  <si>
    <t>Total Sum of Total_customer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</si>
</sst>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Sum of Total_customer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3C-4CC7-B6FA-59DC29209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3C-4CC7-B6FA-59DC29209A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3C-4CC7-B6FA-59DC29209A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3C-4CC7-B6FA-59DC29209A5B}"/>
              </c:ext>
            </c:extLst>
          </c:dPt>
          <c:cat>
            <c:strRef>
              <c:f>Sheet7!$A$4:$A$8</c:f>
              <c:strCache>
                <c:ptCount val="4"/>
                <c:pt idx="0">
                  <c:v>Business</c:v>
                </c:pt>
                <c:pt idx="1">
                  <c:v>Consumer</c:v>
                </c:pt>
                <c:pt idx="2">
                  <c:v>Premium</c:v>
                </c:pt>
                <c:pt idx="3">
                  <c:v>VIP</c:v>
                </c:pt>
              </c:strCache>
            </c:strRef>
          </c:cat>
          <c:val>
            <c:numRef>
              <c:f>Sheet7!$B$4:$B$8</c:f>
              <c:numCache>
                <c:formatCode>General</c:formatCode>
                <c:ptCount val="4"/>
                <c:pt idx="0">
                  <c:v>2519</c:v>
                </c:pt>
                <c:pt idx="1">
                  <c:v>13638</c:v>
                </c:pt>
                <c:pt idx="2">
                  <c:v>6301</c:v>
                </c:pt>
                <c:pt idx="3">
                  <c:v>2542</c:v>
                </c:pt>
              </c:numCache>
            </c:numRef>
          </c:val>
          <c:extLst>
            <c:ext xmlns:c16="http://schemas.microsoft.com/office/drawing/2014/chart" uri="{C3380CC4-5D6E-409C-BE32-E72D297353CC}">
              <c16:uniqueId val="{00000008-A03C-4CC7-B6FA-59DC29209A5B}"/>
            </c:ext>
          </c:extLst>
        </c:ser>
        <c:ser>
          <c:idx val="1"/>
          <c:order val="1"/>
          <c:tx>
            <c:strRef>
              <c:f>Sheet7!$C$3</c:f>
              <c:strCache>
                <c:ptCount val="1"/>
                <c:pt idx="0">
                  <c:v>Sum of round(avg(customer_age),1)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03C-4CC7-B6FA-59DC29209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03C-4CC7-B6FA-59DC29209A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03C-4CC7-B6FA-59DC29209A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03C-4CC7-B6FA-59DC29209A5B}"/>
              </c:ext>
            </c:extLst>
          </c:dPt>
          <c:cat>
            <c:strRef>
              <c:f>Sheet7!$A$4:$A$8</c:f>
              <c:strCache>
                <c:ptCount val="4"/>
                <c:pt idx="0">
                  <c:v>Business</c:v>
                </c:pt>
                <c:pt idx="1">
                  <c:v>Consumer</c:v>
                </c:pt>
                <c:pt idx="2">
                  <c:v>Premium</c:v>
                </c:pt>
                <c:pt idx="3">
                  <c:v>VIP</c:v>
                </c:pt>
              </c:strCache>
            </c:strRef>
          </c:cat>
          <c:val>
            <c:numRef>
              <c:f>Sheet7!$C$4:$C$8</c:f>
              <c:numCache>
                <c:formatCode>General</c:formatCode>
                <c:ptCount val="4"/>
                <c:pt idx="0">
                  <c:v>46.6</c:v>
                </c:pt>
                <c:pt idx="1">
                  <c:v>45.9</c:v>
                </c:pt>
                <c:pt idx="2">
                  <c:v>45.7</c:v>
                </c:pt>
                <c:pt idx="3">
                  <c:v>45.8</c:v>
                </c:pt>
              </c:numCache>
            </c:numRef>
          </c:val>
          <c:extLst>
            <c:ext xmlns:c16="http://schemas.microsoft.com/office/drawing/2014/chart" uri="{C3380CC4-5D6E-409C-BE32-E72D297353CC}">
              <c16:uniqueId val="{00000011-A03C-4CC7-B6FA-59DC29209A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Sheet8!$B$3:$B$5</c:f>
              <c:strCache>
                <c:ptCount val="1"/>
                <c:pt idx="0">
                  <c:v>Count of gender - Female</c:v>
                </c:pt>
              </c:strCache>
            </c:strRef>
          </c:tx>
          <c:spPr>
            <a:solidFill>
              <a:schemeClr val="accent1"/>
            </a:solidFill>
            <a:ln>
              <a:noFill/>
            </a:ln>
            <a:effectLst/>
          </c:spPr>
          <c:invertIfNegative val="0"/>
          <c:cat>
            <c:strRef>
              <c:f>Sheet8!$A$6:$A$12</c:f>
              <c:strCache>
                <c:ptCount val="6"/>
                <c:pt idx="0">
                  <c:v>California</c:v>
                </c:pt>
                <c:pt idx="1">
                  <c:v>Georgia</c:v>
                </c:pt>
                <c:pt idx="2">
                  <c:v>Michigan</c:v>
                </c:pt>
                <c:pt idx="3">
                  <c:v>New York</c:v>
                </c:pt>
                <c:pt idx="4">
                  <c:v>Ohio</c:v>
                </c:pt>
                <c:pt idx="5">
                  <c:v>Pennsylvania</c:v>
                </c:pt>
              </c:strCache>
            </c:strRef>
          </c:cat>
          <c:val>
            <c:numRef>
              <c:f>Sheet8!$B$6:$B$12</c:f>
              <c:numCache>
                <c:formatCode>General</c:formatCode>
                <c:ptCount val="6"/>
                <c:pt idx="0">
                  <c:v>1</c:v>
                </c:pt>
                <c:pt idx="1">
                  <c:v>1</c:v>
                </c:pt>
                <c:pt idx="2">
                  <c:v>1</c:v>
                </c:pt>
                <c:pt idx="3">
                  <c:v>1</c:v>
                </c:pt>
                <c:pt idx="5">
                  <c:v>1</c:v>
                </c:pt>
              </c:numCache>
            </c:numRef>
          </c:val>
          <c:extLst>
            <c:ext xmlns:c16="http://schemas.microsoft.com/office/drawing/2014/chart" uri="{C3380CC4-5D6E-409C-BE32-E72D297353CC}">
              <c16:uniqueId val="{00000000-DFC8-4AB9-A83E-B576E70938A6}"/>
            </c:ext>
          </c:extLst>
        </c:ser>
        <c:ser>
          <c:idx val="1"/>
          <c:order val="1"/>
          <c:tx>
            <c:strRef>
              <c:f>Sheet8!$C$3:$C$5</c:f>
              <c:strCache>
                <c:ptCount val="1"/>
                <c:pt idx="0">
                  <c:v>Count of gender - Male</c:v>
                </c:pt>
              </c:strCache>
            </c:strRef>
          </c:tx>
          <c:spPr>
            <a:solidFill>
              <a:schemeClr val="accent2"/>
            </a:solidFill>
            <a:ln>
              <a:noFill/>
            </a:ln>
            <a:effectLst/>
          </c:spPr>
          <c:invertIfNegative val="0"/>
          <c:cat>
            <c:strRef>
              <c:f>Sheet8!$A$6:$A$12</c:f>
              <c:strCache>
                <c:ptCount val="6"/>
                <c:pt idx="0">
                  <c:v>California</c:v>
                </c:pt>
                <c:pt idx="1">
                  <c:v>Georgia</c:v>
                </c:pt>
                <c:pt idx="2">
                  <c:v>Michigan</c:v>
                </c:pt>
                <c:pt idx="3">
                  <c:v>New York</c:v>
                </c:pt>
                <c:pt idx="4">
                  <c:v>Ohio</c:v>
                </c:pt>
                <c:pt idx="5">
                  <c:v>Pennsylvania</c:v>
                </c:pt>
              </c:strCache>
            </c:strRef>
          </c:cat>
          <c:val>
            <c:numRef>
              <c:f>Sheet8!$C$6:$C$12</c:f>
              <c:numCache>
                <c:formatCode>General</c:formatCode>
                <c:ptCount val="6"/>
                <c:pt idx="0">
                  <c:v>1</c:v>
                </c:pt>
                <c:pt idx="1">
                  <c:v>1</c:v>
                </c:pt>
                <c:pt idx="3">
                  <c:v>1</c:v>
                </c:pt>
                <c:pt idx="4">
                  <c:v>1</c:v>
                </c:pt>
                <c:pt idx="5">
                  <c:v>1</c:v>
                </c:pt>
              </c:numCache>
            </c:numRef>
          </c:val>
          <c:extLst>
            <c:ext xmlns:c16="http://schemas.microsoft.com/office/drawing/2014/chart" uri="{C3380CC4-5D6E-409C-BE32-E72D297353CC}">
              <c16:uniqueId val="{00000001-DFC8-4AB9-A83E-B576E70938A6}"/>
            </c:ext>
          </c:extLst>
        </c:ser>
        <c:ser>
          <c:idx val="2"/>
          <c:order val="2"/>
          <c:tx>
            <c:strRef>
              <c:f>Sheet8!$D$3:$D$5</c:f>
              <c:strCache>
                <c:ptCount val="1"/>
                <c:pt idx="0">
                  <c:v>Sum of Total_customer - Female</c:v>
                </c:pt>
              </c:strCache>
            </c:strRef>
          </c:tx>
          <c:spPr>
            <a:solidFill>
              <a:schemeClr val="accent3"/>
            </a:solidFill>
            <a:ln>
              <a:noFill/>
            </a:ln>
            <a:effectLst/>
          </c:spPr>
          <c:invertIfNegative val="0"/>
          <c:cat>
            <c:strRef>
              <c:f>Sheet8!$A$6:$A$12</c:f>
              <c:strCache>
                <c:ptCount val="6"/>
                <c:pt idx="0">
                  <c:v>California</c:v>
                </c:pt>
                <c:pt idx="1">
                  <c:v>Georgia</c:v>
                </c:pt>
                <c:pt idx="2">
                  <c:v>Michigan</c:v>
                </c:pt>
                <c:pt idx="3">
                  <c:v>New York</c:v>
                </c:pt>
                <c:pt idx="4">
                  <c:v>Ohio</c:v>
                </c:pt>
                <c:pt idx="5">
                  <c:v>Pennsylvania</c:v>
                </c:pt>
              </c:strCache>
            </c:strRef>
          </c:cat>
          <c:val>
            <c:numRef>
              <c:f>Sheet8!$D$6:$D$12</c:f>
              <c:numCache>
                <c:formatCode>General</c:formatCode>
                <c:ptCount val="6"/>
                <c:pt idx="0">
                  <c:v>732</c:v>
                </c:pt>
                <c:pt idx="1">
                  <c:v>754</c:v>
                </c:pt>
                <c:pt idx="2">
                  <c:v>726</c:v>
                </c:pt>
                <c:pt idx="3">
                  <c:v>724</c:v>
                </c:pt>
                <c:pt idx="5">
                  <c:v>799</c:v>
                </c:pt>
              </c:numCache>
            </c:numRef>
          </c:val>
          <c:extLst>
            <c:ext xmlns:c16="http://schemas.microsoft.com/office/drawing/2014/chart" uri="{C3380CC4-5D6E-409C-BE32-E72D297353CC}">
              <c16:uniqueId val="{00000002-DFC8-4AB9-A83E-B576E70938A6}"/>
            </c:ext>
          </c:extLst>
        </c:ser>
        <c:ser>
          <c:idx val="3"/>
          <c:order val="3"/>
          <c:tx>
            <c:strRef>
              <c:f>Sheet8!$E$3:$E$5</c:f>
              <c:strCache>
                <c:ptCount val="1"/>
                <c:pt idx="0">
                  <c:v>Sum of Total_customer - Male</c:v>
                </c:pt>
              </c:strCache>
            </c:strRef>
          </c:tx>
          <c:spPr>
            <a:solidFill>
              <a:schemeClr val="accent4"/>
            </a:solidFill>
            <a:ln>
              <a:noFill/>
            </a:ln>
            <a:effectLst/>
          </c:spPr>
          <c:invertIfNegative val="0"/>
          <c:cat>
            <c:strRef>
              <c:f>Sheet8!$A$6:$A$12</c:f>
              <c:strCache>
                <c:ptCount val="6"/>
                <c:pt idx="0">
                  <c:v>California</c:v>
                </c:pt>
                <c:pt idx="1">
                  <c:v>Georgia</c:v>
                </c:pt>
                <c:pt idx="2">
                  <c:v>Michigan</c:v>
                </c:pt>
                <c:pt idx="3">
                  <c:v>New York</c:v>
                </c:pt>
                <c:pt idx="4">
                  <c:v>Ohio</c:v>
                </c:pt>
                <c:pt idx="5">
                  <c:v>Pennsylvania</c:v>
                </c:pt>
              </c:strCache>
            </c:strRef>
          </c:cat>
          <c:val>
            <c:numRef>
              <c:f>Sheet8!$E$6:$E$12</c:f>
              <c:numCache>
                <c:formatCode>General</c:formatCode>
                <c:ptCount val="6"/>
                <c:pt idx="0">
                  <c:v>741</c:v>
                </c:pt>
                <c:pt idx="1">
                  <c:v>721</c:v>
                </c:pt>
                <c:pt idx="3">
                  <c:v>722</c:v>
                </c:pt>
                <c:pt idx="4">
                  <c:v>736</c:v>
                </c:pt>
                <c:pt idx="5">
                  <c:v>784</c:v>
                </c:pt>
              </c:numCache>
            </c:numRef>
          </c:val>
          <c:extLst>
            <c:ext xmlns:c16="http://schemas.microsoft.com/office/drawing/2014/chart" uri="{C3380CC4-5D6E-409C-BE32-E72D297353CC}">
              <c16:uniqueId val="{00000003-DFC8-4AB9-A83E-B576E70938A6}"/>
            </c:ext>
          </c:extLst>
        </c:ser>
        <c:dLbls>
          <c:showLegendKey val="0"/>
          <c:showVal val="0"/>
          <c:showCatName val="0"/>
          <c:showSerName val="0"/>
          <c:showPercent val="0"/>
          <c:showBubbleSize val="0"/>
        </c:dLbls>
        <c:gapWidth val="150"/>
        <c:overlap val="100"/>
        <c:axId val="52192832"/>
        <c:axId val="50235136"/>
      </c:barChart>
      <c:catAx>
        <c:axId val="5219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5136"/>
        <c:crosses val="autoZero"/>
        <c:auto val="1"/>
        <c:lblAlgn val="ctr"/>
        <c:lblOffset val="100"/>
        <c:noMultiLvlLbl val="0"/>
      </c:catAx>
      <c:valAx>
        <c:axId val="5023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[Book1.xlsx]Sheet9!PivotTable6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Sheet9!$A$4:$A$9</c:f>
              <c:strCache>
                <c:ptCount val="5"/>
                <c:pt idx="0">
                  <c:v>Central</c:v>
                </c:pt>
                <c:pt idx="1">
                  <c:v>East</c:v>
                </c:pt>
                <c:pt idx="2">
                  <c:v>North</c:v>
                </c:pt>
                <c:pt idx="3">
                  <c:v>South</c:v>
                </c:pt>
                <c:pt idx="4">
                  <c:v>West</c:v>
                </c:pt>
              </c:strCache>
            </c:strRef>
          </c:cat>
          <c:val>
            <c:numRef>
              <c:f>Sheet9!$B$4:$B$9</c:f>
              <c:numCache>
                <c:formatCode>General</c:formatCode>
                <c:ptCount val="5"/>
                <c:pt idx="0">
                  <c:v>5358</c:v>
                </c:pt>
                <c:pt idx="1">
                  <c:v>3874</c:v>
                </c:pt>
                <c:pt idx="2">
                  <c:v>3022</c:v>
                </c:pt>
                <c:pt idx="3">
                  <c:v>7996</c:v>
                </c:pt>
                <c:pt idx="4">
                  <c:v>4750</c:v>
                </c:pt>
              </c:numCache>
            </c:numRef>
          </c:val>
          <c:extLst>
            <c:ext xmlns:c16="http://schemas.microsoft.com/office/drawing/2014/chart" uri="{C3380CC4-5D6E-409C-BE32-E72D297353CC}">
              <c16:uniqueId val="{00000000-B787-4BD0-A2CD-4BE116F8008B}"/>
            </c:ext>
          </c:extLst>
        </c:ser>
        <c:dLbls>
          <c:showLegendKey val="0"/>
          <c:showVal val="0"/>
          <c:showCatName val="0"/>
          <c:showSerName val="0"/>
          <c:showPercent val="0"/>
          <c:showBubbleSize val="0"/>
        </c:dLbls>
        <c:gapWidth val="219"/>
        <c:overlap val="-27"/>
        <c:axId val="1966587680"/>
        <c:axId val="50242816"/>
      </c:barChart>
      <c:catAx>
        <c:axId val="196658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816"/>
        <c:crosses val="autoZero"/>
        <c:auto val="1"/>
        <c:lblAlgn val="ctr"/>
        <c:lblOffset val="100"/>
        <c:noMultiLvlLbl val="0"/>
      </c:catAx>
      <c:valAx>
        <c:axId val="502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8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[Book1.xlsx]Sheet10!PivotTable7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Sheet10!$B$3</c:f>
              <c:strCache>
                <c:ptCount val="1"/>
                <c:pt idx="0">
                  <c:v>Sum of Total_customer</c:v>
                </c:pt>
              </c:strCache>
            </c:strRef>
          </c:tx>
          <c:spPr>
            <a:solidFill>
              <a:schemeClr val="accent1"/>
            </a:solidFill>
            <a:ln>
              <a:noFill/>
            </a:ln>
            <a:effectLst/>
          </c:spPr>
          <c:invertIfNegative val="0"/>
          <c:cat>
            <c:strRef>
              <c:f>Sheet10!$A$4:$A$10</c:f>
              <c:strCache>
                <c:ptCount val="6"/>
                <c:pt idx="0">
                  <c:v>California</c:v>
                </c:pt>
                <c:pt idx="1">
                  <c:v>Georgia</c:v>
                </c:pt>
                <c:pt idx="2">
                  <c:v>Michigan</c:v>
                </c:pt>
                <c:pt idx="3">
                  <c:v>New York</c:v>
                </c:pt>
                <c:pt idx="4">
                  <c:v>Ohio</c:v>
                </c:pt>
                <c:pt idx="5">
                  <c:v>Pennsylvania</c:v>
                </c:pt>
              </c:strCache>
            </c:strRef>
          </c:cat>
          <c:val>
            <c:numRef>
              <c:f>Sheet10!$B$4:$B$10</c:f>
              <c:numCache>
                <c:formatCode>General</c:formatCode>
                <c:ptCount val="6"/>
                <c:pt idx="0">
                  <c:v>1473</c:v>
                </c:pt>
                <c:pt idx="1">
                  <c:v>1475</c:v>
                </c:pt>
                <c:pt idx="2">
                  <c:v>726</c:v>
                </c:pt>
                <c:pt idx="3">
                  <c:v>1446</c:v>
                </c:pt>
                <c:pt idx="4">
                  <c:v>736</c:v>
                </c:pt>
                <c:pt idx="5">
                  <c:v>1583</c:v>
                </c:pt>
              </c:numCache>
            </c:numRef>
          </c:val>
          <c:extLst>
            <c:ext xmlns:c16="http://schemas.microsoft.com/office/drawing/2014/chart" uri="{C3380CC4-5D6E-409C-BE32-E72D297353CC}">
              <c16:uniqueId val="{00000000-7B72-406D-9B55-FD9041F0B67B}"/>
            </c:ext>
          </c:extLst>
        </c:ser>
        <c:ser>
          <c:idx val="1"/>
          <c:order val="1"/>
          <c:tx>
            <c:strRef>
              <c:f>Sheet10!$C$3</c:f>
              <c:strCache>
                <c:ptCount val="1"/>
                <c:pt idx="0">
                  <c:v>Count of gender</c:v>
                </c:pt>
              </c:strCache>
            </c:strRef>
          </c:tx>
          <c:spPr>
            <a:solidFill>
              <a:schemeClr val="accent2"/>
            </a:solidFill>
            <a:ln>
              <a:noFill/>
            </a:ln>
            <a:effectLst/>
          </c:spPr>
          <c:invertIfNegative val="0"/>
          <c:cat>
            <c:strRef>
              <c:f>Sheet10!$A$4:$A$10</c:f>
              <c:strCache>
                <c:ptCount val="6"/>
                <c:pt idx="0">
                  <c:v>California</c:v>
                </c:pt>
                <c:pt idx="1">
                  <c:v>Georgia</c:v>
                </c:pt>
                <c:pt idx="2">
                  <c:v>Michigan</c:v>
                </c:pt>
                <c:pt idx="3">
                  <c:v>New York</c:v>
                </c:pt>
                <c:pt idx="4">
                  <c:v>Ohio</c:v>
                </c:pt>
                <c:pt idx="5">
                  <c:v>Pennsylvania</c:v>
                </c:pt>
              </c:strCache>
            </c:strRef>
          </c:cat>
          <c:val>
            <c:numRef>
              <c:f>Sheet10!$C$4:$C$10</c:f>
              <c:numCache>
                <c:formatCode>General</c:formatCode>
                <c:ptCount val="6"/>
                <c:pt idx="0">
                  <c:v>2</c:v>
                </c:pt>
                <c:pt idx="1">
                  <c:v>2</c:v>
                </c:pt>
                <c:pt idx="2">
                  <c:v>1</c:v>
                </c:pt>
                <c:pt idx="3">
                  <c:v>2</c:v>
                </c:pt>
                <c:pt idx="4">
                  <c:v>1</c:v>
                </c:pt>
                <c:pt idx="5">
                  <c:v>2</c:v>
                </c:pt>
              </c:numCache>
            </c:numRef>
          </c:val>
          <c:extLst>
            <c:ext xmlns:c16="http://schemas.microsoft.com/office/drawing/2014/chart" uri="{C3380CC4-5D6E-409C-BE32-E72D297353CC}">
              <c16:uniqueId val="{00000001-7B72-406D-9B55-FD9041F0B67B}"/>
            </c:ext>
          </c:extLst>
        </c:ser>
        <c:dLbls>
          <c:showLegendKey val="0"/>
          <c:showVal val="0"/>
          <c:showCatName val="0"/>
          <c:showSerName val="0"/>
          <c:showPercent val="0"/>
          <c:showBubbleSize val="0"/>
        </c:dLbls>
        <c:gapWidth val="150"/>
        <c:overlap val="100"/>
        <c:axId val="350393391"/>
        <c:axId val="126224127"/>
      </c:barChart>
      <c:catAx>
        <c:axId val="35039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4127"/>
        <c:crosses val="autoZero"/>
        <c:auto val="1"/>
        <c:lblAlgn val="ctr"/>
        <c:lblOffset val="100"/>
        <c:noMultiLvlLbl val="0"/>
      </c:catAx>
      <c:valAx>
        <c:axId val="126224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9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Sum of Total_customer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CA-42FB-846C-6D57558E7F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CA-42FB-846C-6D57558E7F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CA-42FB-846C-6D57558E7F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CA-42FB-846C-6D57558E7F71}"/>
              </c:ext>
            </c:extLst>
          </c:dPt>
          <c:cat>
            <c:strRef>
              <c:f>Sheet1!$A$4:$A$8</c:f>
              <c:strCache>
                <c:ptCount val="4"/>
                <c:pt idx="0">
                  <c:v>Business</c:v>
                </c:pt>
                <c:pt idx="1">
                  <c:v>Consumer</c:v>
                </c:pt>
                <c:pt idx="2">
                  <c:v>Premium</c:v>
                </c:pt>
                <c:pt idx="3">
                  <c:v>VIP</c:v>
                </c:pt>
              </c:strCache>
            </c:strRef>
          </c:cat>
          <c:val>
            <c:numRef>
              <c:f>Sheet1!$B$4:$B$8</c:f>
              <c:numCache>
                <c:formatCode>General</c:formatCode>
                <c:ptCount val="4"/>
                <c:pt idx="0">
                  <c:v>2519</c:v>
                </c:pt>
                <c:pt idx="1">
                  <c:v>13638</c:v>
                </c:pt>
                <c:pt idx="2">
                  <c:v>6301</c:v>
                </c:pt>
                <c:pt idx="3">
                  <c:v>2542</c:v>
                </c:pt>
              </c:numCache>
            </c:numRef>
          </c:val>
          <c:extLst>
            <c:ext xmlns:c16="http://schemas.microsoft.com/office/drawing/2014/chart" uri="{C3380CC4-5D6E-409C-BE32-E72D297353CC}">
              <c16:uniqueId val="{00000008-6FCA-42FB-846C-6D57558E7F71}"/>
            </c:ext>
          </c:extLst>
        </c:ser>
        <c:ser>
          <c:idx val="1"/>
          <c:order val="1"/>
          <c:tx>
            <c:strRef>
              <c:f>Sheet1!$C$3</c:f>
              <c:strCache>
                <c:ptCount val="1"/>
                <c:pt idx="0">
                  <c:v>Sum of round(avg(customer_age),1)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FCA-42FB-846C-6D57558E7F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FCA-42FB-846C-6D57558E7F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FCA-42FB-846C-6D57558E7F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FCA-42FB-846C-6D57558E7F71}"/>
              </c:ext>
            </c:extLst>
          </c:dPt>
          <c:cat>
            <c:strRef>
              <c:f>Sheet1!$A$4:$A$8</c:f>
              <c:strCache>
                <c:ptCount val="4"/>
                <c:pt idx="0">
                  <c:v>Business</c:v>
                </c:pt>
                <c:pt idx="1">
                  <c:v>Consumer</c:v>
                </c:pt>
                <c:pt idx="2">
                  <c:v>Premium</c:v>
                </c:pt>
                <c:pt idx="3">
                  <c:v>VIP</c:v>
                </c:pt>
              </c:strCache>
            </c:strRef>
          </c:cat>
          <c:val>
            <c:numRef>
              <c:f>Sheet1!$C$4:$C$8</c:f>
              <c:numCache>
                <c:formatCode>General</c:formatCode>
                <c:ptCount val="4"/>
                <c:pt idx="0">
                  <c:v>46.6</c:v>
                </c:pt>
                <c:pt idx="1">
                  <c:v>45.9</c:v>
                </c:pt>
                <c:pt idx="2">
                  <c:v>45.7</c:v>
                </c:pt>
                <c:pt idx="3">
                  <c:v>45.8</c:v>
                </c:pt>
              </c:numCache>
            </c:numRef>
          </c:val>
          <c:extLst>
            <c:ext xmlns:c16="http://schemas.microsoft.com/office/drawing/2014/chart" uri="{C3380CC4-5D6E-409C-BE32-E72D297353CC}">
              <c16:uniqueId val="{00000011-6FCA-42FB-846C-6D57558E7F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5358</c:v>
                </c:pt>
                <c:pt idx="1">
                  <c:v>3874</c:v>
                </c:pt>
                <c:pt idx="2">
                  <c:v>3022</c:v>
                </c:pt>
                <c:pt idx="3">
                  <c:v>7996</c:v>
                </c:pt>
                <c:pt idx="4">
                  <c:v>4750</c:v>
                </c:pt>
              </c:numCache>
            </c:numRef>
          </c:val>
          <c:extLst>
            <c:ext xmlns:c16="http://schemas.microsoft.com/office/drawing/2014/chart" uri="{C3380CC4-5D6E-409C-BE32-E72D297353CC}">
              <c16:uniqueId val="{00000000-8800-41BA-A7B2-9F405EFAFBE2}"/>
            </c:ext>
          </c:extLst>
        </c:ser>
        <c:dLbls>
          <c:showLegendKey val="0"/>
          <c:showVal val="0"/>
          <c:showCatName val="0"/>
          <c:showSerName val="0"/>
          <c:showPercent val="0"/>
          <c:showBubbleSize val="0"/>
        </c:dLbls>
        <c:gapWidth val="219"/>
        <c:overlap val="-27"/>
        <c:axId val="350375295"/>
        <c:axId val="369187743"/>
      </c:barChart>
      <c:catAx>
        <c:axId val="35037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87743"/>
        <c:crosses val="autoZero"/>
        <c:auto val="1"/>
        <c:lblAlgn val="ctr"/>
        <c:lblOffset val="100"/>
        <c:noMultiLvlLbl val="0"/>
      </c:catAx>
      <c:valAx>
        <c:axId val="3691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7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441960</xdr:colOff>
      <xdr:row>1</xdr:row>
      <xdr:rowOff>68580</xdr:rowOff>
    </xdr:from>
    <xdr:to>
      <xdr:col>8</xdr:col>
      <xdr:colOff>457200</xdr:colOff>
      <xdr:row>13</xdr:row>
      <xdr:rowOff>45720</xdr:rowOff>
    </xdr:to>
    <xdr:graphicFrame macro="">
      <xdr:nvGraphicFramePr>
        <xdr:cNvPr id="2" name="Chart 1">
          <a:extLst>
            <a:ext uri="{FF2B5EF4-FFF2-40B4-BE49-F238E27FC236}">
              <a16:creationId xmlns:a16="http://schemas.microsoft.com/office/drawing/2014/main" id="{43F18652-3FDC-4E56-A882-BCA25C989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449580</xdr:colOff>
      <xdr:row>1</xdr:row>
      <xdr:rowOff>91440</xdr:rowOff>
    </xdr:from>
    <xdr:to>
      <xdr:col>16</xdr:col>
      <xdr:colOff>137160</xdr:colOff>
      <xdr:row>12</xdr:row>
      <xdr:rowOff>106680</xdr:rowOff>
    </xdr:to>
    <xdr:graphicFrame macro="">
      <xdr:nvGraphicFramePr>
        <xdr:cNvPr id="3" name="Chart 2">
          <a:extLst>
            <a:ext uri="{FF2B5EF4-FFF2-40B4-BE49-F238E27FC236}">
              <a16:creationId xmlns:a16="http://schemas.microsoft.com/office/drawing/2014/main" id="{A9E45648-EDC9-49CC-AE0A-1A8C565AC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13</xdr:row>
      <xdr:rowOff>76200</xdr:rowOff>
    </xdr:from>
    <xdr:to>
      <xdr:col>16</xdr:col>
      <xdr:colOff>60960</xdr:colOff>
      <xdr:row>26</xdr:row>
      <xdr:rowOff>0</xdr:rowOff>
    </xdr:to>
    <xdr:graphicFrame macro="">
      <xdr:nvGraphicFramePr>
        <xdr:cNvPr id="4" name="Chart 3">
          <a:extLst>
            <a:ext uri="{FF2B5EF4-FFF2-40B4-BE49-F238E27FC236}">
              <a16:creationId xmlns:a16="http://schemas.microsoft.com/office/drawing/2014/main" id="{4C472705-2055-4436-8E9B-F0D4E8D2F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320040</xdr:colOff>
      <xdr:row>12</xdr:row>
      <xdr:rowOff>22860</xdr:rowOff>
    </xdr:from>
    <xdr:to>
      <xdr:col>20</xdr:col>
      <xdr:colOff>320040</xdr:colOff>
      <xdr:row>25</xdr:row>
      <xdr:rowOff>112395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0350597-ED47-3370-0908-C7E2A6981D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8324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xdr:colOff>
      <xdr:row>143</xdr:row>
      <xdr:rowOff>114300</xdr:rowOff>
    </xdr:from>
    <xdr:to>
      <xdr:col>16</xdr:col>
      <xdr:colOff>137160</xdr:colOff>
      <xdr:row>155</xdr:row>
      <xdr:rowOff>7620</xdr:rowOff>
    </xdr:to>
    <xdr:graphicFrame macro="">
      <xdr:nvGraphicFramePr>
        <xdr:cNvPr id="6" name="Chart 5">
          <a:extLst>
            <a:ext uri="{FF2B5EF4-FFF2-40B4-BE49-F238E27FC236}">
              <a16:creationId xmlns:a16="http://schemas.microsoft.com/office/drawing/2014/main" id="{A9963ED0-3079-4D5F-9E3F-F6E31BC8E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xdr:colOff>
      <xdr:row>144</xdr:row>
      <xdr:rowOff>30480</xdr:rowOff>
    </xdr:from>
    <xdr:to>
      <xdr:col>7</xdr:col>
      <xdr:colOff>228600</xdr:colOff>
      <xdr:row>156</xdr:row>
      <xdr:rowOff>76200</xdr:rowOff>
    </xdr:to>
    <xdr:graphicFrame macro="">
      <xdr:nvGraphicFramePr>
        <xdr:cNvPr id="7" name="Chart 6">
          <a:extLst>
            <a:ext uri="{FF2B5EF4-FFF2-40B4-BE49-F238E27FC236}">
              <a16:creationId xmlns:a16="http://schemas.microsoft.com/office/drawing/2014/main" id="{1D370FE3-5C74-4DDE-9CEB-E4E2DF433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579120</xdr:colOff>
      <xdr:row>155</xdr:row>
      <xdr:rowOff>99060</xdr:rowOff>
    </xdr:from>
    <xdr:to>
      <xdr:col>14</xdr:col>
      <xdr:colOff>60960</xdr:colOff>
      <xdr:row>168</xdr:row>
      <xdr:rowOff>106680</xdr:rowOff>
    </xdr:to>
    <xdr:graphicFrame macro="">
      <xdr:nvGraphicFramePr>
        <xdr:cNvPr id="8" name="Chart 7">
          <a:extLst>
            <a:ext uri="{FF2B5EF4-FFF2-40B4-BE49-F238E27FC236}">
              <a16:creationId xmlns:a16="http://schemas.microsoft.com/office/drawing/2014/main" id="{104793B2-B233-489B-933F-6306211FA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441960</xdr:colOff>
      <xdr:row>155</xdr:row>
      <xdr:rowOff>137160</xdr:rowOff>
    </xdr:from>
    <xdr:to>
      <xdr:col>18</xdr:col>
      <xdr:colOff>441960</xdr:colOff>
      <xdr:row>169</xdr:row>
      <xdr:rowOff>43815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3FC54E0C-BA61-3951-BCE3-1E06C84F9C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85960" y="2848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arwal" refreshedDate="46280.450638194445" createdVersion="8" refreshedVersion="8" minRefreshableVersion="3" recordCount="4" xr:uid="{D5B19A91-2C21-4104-A5BE-2C86BA3F764A}">
  <cacheSource type="worksheet">
    <worksheetSource name="Table_Seg"/>
  </cacheSource>
  <cacheFields count="3">
    <cacheField name="customer_segment" numFmtId="0">
      <sharedItems count="4">
        <s v="Consumer"/>
        <s v="Premium"/>
        <s v="VIP"/>
        <s v="Business"/>
      </sharedItems>
    </cacheField>
    <cacheField name="Total_customer" numFmtId="0">
      <sharedItems containsSemiMixedTypes="0" containsString="0" containsNumber="1" containsInteger="1" minValue="2519" maxValue="13638"/>
    </cacheField>
    <cacheField name="round(avg(customer_age),1)" numFmtId="0">
      <sharedItems containsSemiMixedTypes="0" containsString="0" containsNumber="1" minValue="45.7" maxValue="4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arwal" refreshedDate="46280.452194328704" createdVersion="8" refreshedVersion="8" minRefreshableVersion="3" recordCount="5" xr:uid="{E129B221-CFEC-4D25-A14D-42D0D62ECB49}">
  <cacheSource type="worksheet">
    <worksheetSource name="Table_Reg"/>
  </cacheSource>
  <cacheFields count="2">
    <cacheField name="region" numFmtId="0">
      <sharedItems count="5">
        <s v="South"/>
        <s v="Central"/>
        <s v="West"/>
        <s v="East"/>
        <s v="North"/>
      </sharedItems>
    </cacheField>
    <cacheField name="Total_customer" numFmtId="0">
      <sharedItems containsSemiMixedTypes="0" containsString="0" containsNumber="1" containsInteger="1" minValue="3022" maxValue="7996"/>
    </cacheField>
  </cacheFields>
  <extLst>
    <ext xmlns:x14="http://schemas.microsoft.com/office/spreadsheetml/2009/9/main" uri="{725AE2AE-9491-48be-B2B4-4EB974FC3084}">
      <x14:pivotCacheDefinition pivotCacheId="6341385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arwal" refreshedDate="46280.452818287034" createdVersion="8" refreshedVersion="8" minRefreshableVersion="3" recordCount="10" xr:uid="{0E5C57D5-F70B-4DDE-B6AD-BAA478A5B27F}">
  <cacheSource type="worksheet">
    <worksheetSource name="Table_State"/>
  </cacheSource>
  <cacheFields count="3">
    <cacheField name="Total_customer" numFmtId="0">
      <sharedItems containsSemiMixedTypes="0" containsString="0" containsNumber="1" containsInteger="1" minValue="721" maxValue="799" count="10">
        <n v="799"/>
        <n v="784"/>
        <n v="754"/>
        <n v="741"/>
        <n v="736"/>
        <n v="732"/>
        <n v="726"/>
        <n v="724"/>
        <n v="722"/>
        <n v="721"/>
      </sharedItems>
    </cacheField>
    <cacheField name="gender" numFmtId="0">
      <sharedItems count="2">
        <s v="Female"/>
        <s v="Male"/>
      </sharedItems>
    </cacheField>
    <cacheField name="customer_state" numFmtId="0">
      <sharedItems count="6">
        <s v="Pennsylvania"/>
        <s v="Georgia"/>
        <s v="California"/>
        <s v="Ohio"/>
        <s v="Michigan"/>
        <s v="New Yor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638"/>
    <n v="45.9"/>
  </r>
  <r>
    <x v="1"/>
    <n v="6301"/>
    <n v="45.7"/>
  </r>
  <r>
    <x v="2"/>
    <n v="2542"/>
    <n v="45.8"/>
  </r>
  <r>
    <x v="3"/>
    <n v="2519"/>
    <n v="4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996"/>
  </r>
  <r>
    <x v="1"/>
    <n v="5358"/>
  </r>
  <r>
    <x v="2"/>
    <n v="4750"/>
  </r>
  <r>
    <x v="3"/>
    <n v="3874"/>
  </r>
  <r>
    <x v="4"/>
    <n v="30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1"/>
    <x v="1"/>
    <x v="0"/>
  </r>
  <r>
    <x v="2"/>
    <x v="0"/>
    <x v="1"/>
  </r>
  <r>
    <x v="3"/>
    <x v="1"/>
    <x v="2"/>
  </r>
  <r>
    <x v="4"/>
    <x v="1"/>
    <x v="3"/>
  </r>
  <r>
    <x v="5"/>
    <x v="0"/>
    <x v="2"/>
  </r>
  <r>
    <x v="6"/>
    <x v="0"/>
    <x v="4"/>
  </r>
  <r>
    <x v="7"/>
    <x v="0"/>
    <x v="5"/>
  </r>
  <r>
    <x v="8"/>
    <x v="1"/>
    <x v="5"/>
  </r>
  <r>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516A2-A6C1-4A93-A3D8-0298FC4C669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3">
    <pivotField axis="axisRow" showAll="0">
      <items count="5">
        <item x="3"/>
        <item x="0"/>
        <item x="1"/>
        <item x="2"/>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_customer" fld="1" baseField="0" baseItem="0"/>
    <dataField name="Sum of round(avg(customer_age),1)"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series="1">
      <pivotArea type="data" outline="0" fieldPosition="0">
        <references count="1">
          <reference field="4294967294" count="1" selected="0">
            <x v="1"/>
          </reference>
        </references>
      </pivotArea>
    </chartFormat>
    <chartFormat chart="6" format="18">
      <pivotArea type="data" outline="0" fieldPosition="0">
        <references count="2">
          <reference field="4294967294" count="1" selected="0">
            <x v="1"/>
          </reference>
          <reference field="0" count="1" selected="0">
            <x v="0"/>
          </reference>
        </references>
      </pivotArea>
    </chartFormat>
    <chartFormat chart="6" format="19">
      <pivotArea type="data" outline="0" fieldPosition="0">
        <references count="2">
          <reference field="4294967294" count="1" selected="0">
            <x v="1"/>
          </reference>
          <reference field="0" count="1" selected="0">
            <x v="1"/>
          </reference>
        </references>
      </pivotArea>
    </chartFormat>
    <chartFormat chart="6" format="20">
      <pivotArea type="data" outline="0" fieldPosition="0">
        <references count="2">
          <reference field="4294967294" count="1" selected="0">
            <x v="1"/>
          </reference>
          <reference field="0" count="1" selected="0">
            <x v="2"/>
          </reference>
        </references>
      </pivotArea>
    </chartFormat>
    <chartFormat chart="6" format="21">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CB6EA9-3CBF-42D9-8F55-2D121E01DB2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3">
    <pivotField axis="axisRow" showAll="0">
      <items count="5">
        <item x="3"/>
        <item x="0"/>
        <item x="1"/>
        <item x="2"/>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_customer" fld="1" baseField="0" baseItem="0"/>
    <dataField name="Sum of round(avg(customer_age),1)"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0" count="1" selected="0">
            <x v="0"/>
          </reference>
        </references>
      </pivotArea>
    </chartFormat>
    <chartFormat chart="4" format="19">
      <pivotArea type="data" outline="0" fieldPosition="0">
        <references count="2">
          <reference field="4294967294" count="1" selected="0">
            <x v="1"/>
          </reference>
          <reference field="0" count="1" selected="0">
            <x v="1"/>
          </reference>
        </references>
      </pivotArea>
    </chartFormat>
    <chartFormat chart="4" format="20">
      <pivotArea type="data" outline="0" fieldPosition="0">
        <references count="2">
          <reference field="4294967294" count="1" selected="0">
            <x v="1"/>
          </reference>
          <reference field="0" count="1" selected="0">
            <x v="2"/>
          </reference>
        </references>
      </pivotArea>
    </chartFormat>
    <chartFormat chart="4" format="21">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2A2C8-4833-400C-BE21-B3AA54E9619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12" firstHeaderRow="1" firstDataRow="3" firstDataCol="1"/>
  <pivotFields count="3">
    <pivotField dataField="1" showAll="0">
      <items count="11">
        <item x="9"/>
        <item x="8"/>
        <item x="7"/>
        <item x="6"/>
        <item x="5"/>
        <item x="4"/>
        <item x="3"/>
        <item x="2"/>
        <item x="1"/>
        <item x="0"/>
        <item t="default"/>
      </items>
    </pivotField>
    <pivotField axis="axisCol" dataField="1" showAll="0">
      <items count="3">
        <item x="0"/>
        <item x="1"/>
        <item t="default"/>
      </items>
    </pivotField>
    <pivotField axis="axisRow" showAll="0">
      <items count="7">
        <item x="2"/>
        <item x="1"/>
        <item x="4"/>
        <item x="5"/>
        <item x="3"/>
        <item x="0"/>
        <item t="default"/>
      </items>
    </pivotField>
  </pivotFields>
  <rowFields count="1">
    <field x="2"/>
  </rowFields>
  <rowItems count="7">
    <i>
      <x/>
    </i>
    <i>
      <x v="1"/>
    </i>
    <i>
      <x v="2"/>
    </i>
    <i>
      <x v="3"/>
    </i>
    <i>
      <x v="4"/>
    </i>
    <i>
      <x v="5"/>
    </i>
    <i t="grand">
      <x/>
    </i>
  </rowItems>
  <colFields count="2">
    <field x="-2"/>
    <field x="1"/>
  </colFields>
  <colItems count="6">
    <i>
      <x/>
      <x/>
    </i>
    <i r="1">
      <x v="1"/>
    </i>
    <i i="1">
      <x v="1"/>
      <x/>
    </i>
    <i r="1" i="1">
      <x v="1"/>
    </i>
    <i t="grand">
      <x/>
    </i>
    <i t="grand" i="1">
      <x/>
    </i>
  </colItems>
  <dataFields count="2">
    <dataField name="Count of gender" fld="1" subtotal="count" baseField="0" baseItem="0"/>
    <dataField name="Sum of Total_customer" fld="0"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1"/>
          </reference>
          <reference field="1" count="1" selected="0">
            <x v="0"/>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1"/>
          </reference>
          <reference field="1" count="1" selected="0">
            <x v="0"/>
          </reference>
        </references>
      </pivotArea>
    </chartFormat>
    <chartFormat chart="4" format="11"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6426F2-63D2-4A18-A4D9-51A9B1848D3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 firstHeaderRow="0" firstDataRow="1" firstDataCol="1"/>
  <pivotFields count="3">
    <pivotField dataField="1" showAll="0"/>
    <pivotField dataField="1" showAll="0">
      <items count="3">
        <item x="0"/>
        <item x="1"/>
        <item t="default"/>
      </items>
    </pivotField>
    <pivotField axis="axisRow" showAll="0">
      <items count="7">
        <item x="2"/>
        <item x="1"/>
        <item x="4"/>
        <item x="5"/>
        <item x="3"/>
        <item x="0"/>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Total_customer" fld="0" baseField="0" baseItem="0"/>
    <dataField name="Count of gender"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3900C9-6529-4C2F-9630-8EAD69F3765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
    <pivotField axis="axisRow" showAll="0">
      <items count="6">
        <item x="1"/>
        <item x="3"/>
        <item x="4"/>
        <item x="0"/>
        <item x="2"/>
        <item t="default"/>
      </items>
    </pivotField>
    <pivotField dataField="1" showAll="0"/>
  </pivotFields>
  <rowFields count="1">
    <field x="0"/>
  </rowFields>
  <rowItems count="6">
    <i>
      <x/>
    </i>
    <i>
      <x v="1"/>
    </i>
    <i>
      <x v="2"/>
    </i>
    <i>
      <x v="3"/>
    </i>
    <i>
      <x v="4"/>
    </i>
    <i t="grand">
      <x/>
    </i>
  </rowItems>
  <colItems count="1">
    <i/>
  </colItems>
  <dataFields count="1">
    <dataField name="Sum of Total_customer"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C6BAFB-941C-4F35-8E39-D1B95804BCA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
    <pivotField axis="axisRow" showAll="0">
      <items count="6">
        <item x="1"/>
        <item x="3"/>
        <item x="4"/>
        <item x="0"/>
        <item x="2"/>
        <item t="default"/>
      </items>
    </pivotField>
    <pivotField dataField="1" showAll="0"/>
  </pivotFields>
  <rowFields count="1">
    <field x="0"/>
  </rowFields>
  <rowItems count="6">
    <i>
      <x/>
    </i>
    <i>
      <x v="1"/>
    </i>
    <i>
      <x v="2"/>
    </i>
    <i>
      <x v="3"/>
    </i>
    <i>
      <x v="4"/>
    </i>
    <i t="grand">
      <x/>
    </i>
  </rowItems>
  <colItems count="1">
    <i/>
  </colItems>
  <dataFields count="1">
    <dataField name="Sum of Total_customer"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05D5CB-9BA9-4900-9DD1-C417C33A52A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7" firstHeaderRow="1" firstDataRow="1" firstDataCol="1"/>
  <pivotFields count="2">
    <pivotField axis="axisRow" showAll="0">
      <items count="6">
        <item x="1"/>
        <item x="3"/>
        <item x="4"/>
        <item x="0"/>
        <item x="2"/>
        <item t="default"/>
      </items>
    </pivotField>
    <pivotField dataField="1" showAll="0"/>
  </pivotFields>
  <rowFields count="1">
    <field x="0"/>
  </rowFields>
  <rowItems count="6">
    <i>
      <x/>
    </i>
    <i>
      <x v="1"/>
    </i>
    <i>
      <x v="2"/>
    </i>
    <i>
      <x v="3"/>
    </i>
    <i>
      <x v="4"/>
    </i>
    <i t="grand">
      <x/>
    </i>
  </rowItems>
  <colItems count="1">
    <i/>
  </colItems>
  <dataFields count="1">
    <dataField name="Sum of Total_custome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A26B85-B697-445B-8A0E-03333D472F7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6" firstHeaderRow="0" firstDataRow="1" firstDataCol="1"/>
  <pivotFields count="3">
    <pivotField axis="axisRow" showAll="0">
      <items count="5">
        <item x="3"/>
        <item x="0"/>
        <item x="1"/>
        <item x="2"/>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_customer" fld="1" baseField="0" baseItem="0"/>
    <dataField name="Sum of round(avg(customer_age),1)"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C45638-8512-4BC0-A59E-8E36D1B100D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K8" firstHeaderRow="0" firstDataRow="1" firstDataCol="1"/>
  <pivotFields count="3">
    <pivotField dataField="1" showAll="0"/>
    <pivotField dataField="1" showAll="0"/>
    <pivotField axis="axisRow" showAll="0">
      <items count="7">
        <item x="2"/>
        <item x="1"/>
        <item x="4"/>
        <item x="5"/>
        <item x="3"/>
        <item x="0"/>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Total_customer" fld="0" baseField="0" baseItem="0"/>
    <dataField name="Count of gend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0A2B107-4504-45ED-A2F1-5EFF5466B544}" sourceName="region">
  <pivotTables>
    <pivotTable tabId="12" name="PivotTable2"/>
    <pivotTable tabId="6" name="PivotTable2"/>
    <pivotTable tabId="9" name="PivotTable6"/>
  </pivotTables>
  <data>
    <tabular pivotCacheId="634138571">
      <items count="5">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B7B6613-1157-422A-8F2B-109F2B0B1492}" cache="Slicer_region1" caption="region" rowHeight="234950"/>
  <slicer name="region" xr10:uid="{1415A9BC-6D66-404C-8F1D-4929E4C1F4C5}"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E402C8-135C-4675-95F4-B4FF98B93AE5}" name="Table_Seg" displayName="Table_Seg" ref="A1:C5" totalsRowShown="0">
  <autoFilter ref="A1:C5" xr:uid="{C7E402C8-135C-4675-95F4-B4FF98B93AE5}"/>
  <tableColumns count="3">
    <tableColumn id="1" xr3:uid="{26B74792-4FB2-4754-BAC3-D8A4963520FD}" name="customer_segment"/>
    <tableColumn id="2" xr3:uid="{DC71FC2B-2521-4479-A40D-15805B3C3C80}" name="Total_customer"/>
    <tableColumn id="3" xr3:uid="{385BBBE1-2024-41C1-9EAA-EEF24C10009A}" name="round(avg(customer_age),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0B8031-C80C-433A-9809-7DA2984244E1}" name="Table_State" displayName="Table_State" ref="A1:C11" totalsRowShown="0">
  <autoFilter ref="A1:C11" xr:uid="{140B8031-C80C-433A-9809-7DA2984244E1}"/>
  <tableColumns count="3">
    <tableColumn id="1" xr3:uid="{1772F81E-211C-40B6-AB55-3FAC1B10300A}" name="Total_customer"/>
    <tableColumn id="2" xr3:uid="{9B4FAF1B-EACB-44A9-B378-FA51AC44E6FB}" name="gender"/>
    <tableColumn id="3" xr3:uid="{E1C824A8-665A-446E-BCA9-BB72B506F50B}" name="customer_stat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673BB1-D347-450D-A54F-72334B870226}" name="Table_Reg" displayName="Table_Reg" ref="A1:B6" totalsRowShown="0">
  <autoFilter ref="A1:B6" xr:uid="{94673BB1-D347-450D-A54F-72334B870226}"/>
  <tableColumns count="2">
    <tableColumn id="1" xr3:uid="{BF0FB2CA-7638-4378-A501-D6E2643A8877}" name="region"/>
    <tableColumn id="2" xr3:uid="{781E873C-B1E3-4496-9D7F-AAEC54D43E3E}" name="Total_customer"/>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DD74-DD3A-4BA6-9F85-A496B3A732AA}">
  <dimension ref="A1:C26"/>
  <sheetViews>
    <sheetView topLeftCell="A4" workbookViewId="0">
      <selection activeCell="C27" sqref="A16:C27"/>
    </sheetView>
  </sheetViews>
  <sheetFormatPr defaultRowHeight="14.4" x14ac:dyDescent="0.3"/>
  <cols>
    <col min="1" max="1" width="16.6640625" bestFit="1" customWidth="1"/>
    <col min="2" max="2" width="14" bestFit="1" customWidth="1"/>
    <col min="3" max="3" width="24.109375" bestFit="1" customWidth="1"/>
  </cols>
  <sheetData>
    <row r="1" spans="1:3" x14ac:dyDescent="0.3">
      <c r="A1" t="s">
        <v>0</v>
      </c>
      <c r="B1" t="s">
        <v>1</v>
      </c>
      <c r="C1" t="s">
        <v>2</v>
      </c>
    </row>
    <row r="2" spans="1:3" x14ac:dyDescent="0.3">
      <c r="A2" t="s">
        <v>3</v>
      </c>
      <c r="B2">
        <v>13638</v>
      </c>
      <c r="C2">
        <v>45.9</v>
      </c>
    </row>
    <row r="3" spans="1:3" x14ac:dyDescent="0.3">
      <c r="A3" t="s">
        <v>4</v>
      </c>
      <c r="B3">
        <v>6301</v>
      </c>
      <c r="C3">
        <v>45.7</v>
      </c>
    </row>
    <row r="4" spans="1:3" x14ac:dyDescent="0.3">
      <c r="A4" t="s">
        <v>5</v>
      </c>
      <c r="B4">
        <v>2542</v>
      </c>
      <c r="C4">
        <v>45.8</v>
      </c>
    </row>
    <row r="5" spans="1:3" x14ac:dyDescent="0.3">
      <c r="A5" t="s">
        <v>6</v>
      </c>
      <c r="B5">
        <v>2519</v>
      </c>
      <c r="C5">
        <v>46.6</v>
      </c>
    </row>
    <row r="8" spans="1:3" x14ac:dyDescent="0.3">
      <c r="A8" t="s">
        <v>7</v>
      </c>
      <c r="B8" t="s">
        <v>1</v>
      </c>
    </row>
    <row r="9" spans="1:3" x14ac:dyDescent="0.3">
      <c r="A9" t="s">
        <v>8</v>
      </c>
      <c r="B9">
        <v>7996</v>
      </c>
    </row>
    <row r="10" spans="1:3" x14ac:dyDescent="0.3">
      <c r="A10" t="s">
        <v>9</v>
      </c>
      <c r="B10">
        <v>5358</v>
      </c>
    </row>
    <row r="11" spans="1:3" x14ac:dyDescent="0.3">
      <c r="A11" t="s">
        <v>10</v>
      </c>
      <c r="B11">
        <v>4750</v>
      </c>
    </row>
    <row r="12" spans="1:3" x14ac:dyDescent="0.3">
      <c r="A12" t="s">
        <v>11</v>
      </c>
      <c r="B12">
        <v>3874</v>
      </c>
    </row>
    <row r="13" spans="1:3" x14ac:dyDescent="0.3">
      <c r="A13" t="s">
        <v>12</v>
      </c>
      <c r="B13">
        <v>3022</v>
      </c>
    </row>
    <row r="16" spans="1:3" x14ac:dyDescent="0.3">
      <c r="A16" t="s">
        <v>1</v>
      </c>
      <c r="B16" t="s">
        <v>13</v>
      </c>
      <c r="C16" t="s">
        <v>14</v>
      </c>
    </row>
    <row r="17" spans="1:3" x14ac:dyDescent="0.3">
      <c r="A17">
        <v>799</v>
      </c>
      <c r="B17" t="s">
        <v>15</v>
      </c>
      <c r="C17" t="s">
        <v>16</v>
      </c>
    </row>
    <row r="18" spans="1:3" x14ac:dyDescent="0.3">
      <c r="A18">
        <v>784</v>
      </c>
      <c r="B18" t="s">
        <v>17</v>
      </c>
      <c r="C18" t="s">
        <v>16</v>
      </c>
    </row>
    <row r="19" spans="1:3" x14ac:dyDescent="0.3">
      <c r="A19">
        <v>754</v>
      </c>
      <c r="B19" t="s">
        <v>15</v>
      </c>
      <c r="C19" t="s">
        <v>18</v>
      </c>
    </row>
    <row r="20" spans="1:3" x14ac:dyDescent="0.3">
      <c r="A20">
        <v>741</v>
      </c>
      <c r="B20" t="s">
        <v>17</v>
      </c>
      <c r="C20" t="s">
        <v>19</v>
      </c>
    </row>
    <row r="21" spans="1:3" x14ac:dyDescent="0.3">
      <c r="A21">
        <v>736</v>
      </c>
      <c r="B21" t="s">
        <v>17</v>
      </c>
      <c r="C21" t="s">
        <v>20</v>
      </c>
    </row>
    <row r="22" spans="1:3" x14ac:dyDescent="0.3">
      <c r="A22">
        <v>732</v>
      </c>
      <c r="B22" t="s">
        <v>15</v>
      </c>
      <c r="C22" t="s">
        <v>19</v>
      </c>
    </row>
    <row r="23" spans="1:3" x14ac:dyDescent="0.3">
      <c r="A23">
        <v>726</v>
      </c>
      <c r="B23" t="s">
        <v>15</v>
      </c>
      <c r="C23" t="s">
        <v>21</v>
      </c>
    </row>
    <row r="24" spans="1:3" x14ac:dyDescent="0.3">
      <c r="A24">
        <v>724</v>
      </c>
      <c r="B24" t="s">
        <v>15</v>
      </c>
      <c r="C24" t="s">
        <v>22</v>
      </c>
    </row>
    <row r="25" spans="1:3" x14ac:dyDescent="0.3">
      <c r="A25">
        <v>722</v>
      </c>
      <c r="B25" t="s">
        <v>17</v>
      </c>
      <c r="C25" t="s">
        <v>22</v>
      </c>
    </row>
    <row r="26" spans="1:3" x14ac:dyDescent="0.3">
      <c r="A26">
        <v>721</v>
      </c>
      <c r="B26" t="s">
        <v>17</v>
      </c>
      <c r="C2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57B7-2F74-440D-A762-D3663E7357CF}">
  <dimension ref="A3:C8"/>
  <sheetViews>
    <sheetView workbookViewId="0">
      <selection activeCell="L11" sqref="L11"/>
    </sheetView>
  </sheetViews>
  <sheetFormatPr defaultRowHeight="14.4" x14ac:dyDescent="0.3"/>
  <cols>
    <col min="1" max="1" width="12.5546875" bestFit="1" customWidth="1"/>
    <col min="2" max="2" width="20.77734375" bestFit="1" customWidth="1"/>
    <col min="3" max="3" width="32.21875" bestFit="1" customWidth="1"/>
  </cols>
  <sheetData>
    <row r="3" spans="1:3" x14ac:dyDescent="0.3">
      <c r="A3" s="1" t="s">
        <v>23</v>
      </c>
      <c r="B3" t="s">
        <v>25</v>
      </c>
      <c r="C3" t="s">
        <v>26</v>
      </c>
    </row>
    <row r="4" spans="1:3" x14ac:dyDescent="0.3">
      <c r="A4" s="2" t="s">
        <v>6</v>
      </c>
      <c r="B4">
        <v>2519</v>
      </c>
      <c r="C4">
        <v>46.6</v>
      </c>
    </row>
    <row r="5" spans="1:3" x14ac:dyDescent="0.3">
      <c r="A5" s="2" t="s">
        <v>3</v>
      </c>
      <c r="B5">
        <v>13638</v>
      </c>
      <c r="C5">
        <v>45.9</v>
      </c>
    </row>
    <row r="6" spans="1:3" x14ac:dyDescent="0.3">
      <c r="A6" s="2" t="s">
        <v>4</v>
      </c>
      <c r="B6">
        <v>6301</v>
      </c>
      <c r="C6">
        <v>45.7</v>
      </c>
    </row>
    <row r="7" spans="1:3" x14ac:dyDescent="0.3">
      <c r="A7" s="2" t="s">
        <v>5</v>
      </c>
      <c r="B7">
        <v>2542</v>
      </c>
      <c r="C7">
        <v>45.8</v>
      </c>
    </row>
    <row r="8" spans="1:3" x14ac:dyDescent="0.3">
      <c r="A8" s="2" t="s">
        <v>24</v>
      </c>
      <c r="B8">
        <v>25000</v>
      </c>
      <c r="C8">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09CE-219A-4F9D-B782-30BBEF9771DC}">
  <dimension ref="A3:C8"/>
  <sheetViews>
    <sheetView workbookViewId="0">
      <selection activeCell="A3" sqref="A3"/>
    </sheetView>
  </sheetViews>
  <sheetFormatPr defaultRowHeight="14.4" x14ac:dyDescent="0.3"/>
  <cols>
    <col min="1" max="1" width="12.5546875" bestFit="1" customWidth="1"/>
    <col min="2" max="2" width="20.77734375" bestFit="1" customWidth="1"/>
    <col min="3" max="3" width="32.21875" bestFit="1" customWidth="1"/>
  </cols>
  <sheetData>
    <row r="3" spans="1:3" x14ac:dyDescent="0.3">
      <c r="A3" s="1" t="s">
        <v>23</v>
      </c>
      <c r="B3" t="s">
        <v>25</v>
      </c>
      <c r="C3" t="s">
        <v>26</v>
      </c>
    </row>
    <row r="4" spans="1:3" x14ac:dyDescent="0.3">
      <c r="A4" s="2" t="s">
        <v>6</v>
      </c>
      <c r="B4" s="3">
        <v>2519</v>
      </c>
      <c r="C4" s="3">
        <v>46.6</v>
      </c>
    </row>
    <row r="5" spans="1:3" x14ac:dyDescent="0.3">
      <c r="A5" s="2" t="s">
        <v>3</v>
      </c>
      <c r="B5" s="3">
        <v>13638</v>
      </c>
      <c r="C5" s="3">
        <v>45.9</v>
      </c>
    </row>
    <row r="6" spans="1:3" x14ac:dyDescent="0.3">
      <c r="A6" s="2" t="s">
        <v>4</v>
      </c>
      <c r="B6" s="3">
        <v>6301</v>
      </c>
      <c r="C6" s="3">
        <v>45.7</v>
      </c>
    </row>
    <row r="7" spans="1:3" x14ac:dyDescent="0.3">
      <c r="A7" s="2" t="s">
        <v>5</v>
      </c>
      <c r="B7" s="3">
        <v>2542</v>
      </c>
      <c r="C7" s="3">
        <v>45.8</v>
      </c>
    </row>
    <row r="8" spans="1:3" x14ac:dyDescent="0.3">
      <c r="A8" s="2" t="s">
        <v>24</v>
      </c>
      <c r="B8" s="3">
        <v>25000</v>
      </c>
      <c r="C8" s="3">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BA11-A881-4093-8E7F-2616FDF5D210}">
  <dimension ref="A1:C5"/>
  <sheetViews>
    <sheetView workbookViewId="0">
      <selection activeCell="B3" sqref="B3"/>
    </sheetView>
  </sheetViews>
  <sheetFormatPr defaultRowHeight="14.4" x14ac:dyDescent="0.3"/>
  <cols>
    <col min="1" max="1" width="19" customWidth="1"/>
    <col min="2" max="2" width="16" customWidth="1"/>
    <col min="3" max="3" width="27.109375" customWidth="1"/>
    <col min="6" max="6" width="10.44140625" customWidth="1"/>
  </cols>
  <sheetData>
    <row r="1" spans="1:3" x14ac:dyDescent="0.3">
      <c r="A1" t="s">
        <v>0</v>
      </c>
      <c r="B1" t="s">
        <v>1</v>
      </c>
      <c r="C1" t="s">
        <v>2</v>
      </c>
    </row>
    <row r="2" spans="1:3" x14ac:dyDescent="0.3">
      <c r="A2" t="s">
        <v>3</v>
      </c>
      <c r="B2">
        <v>13638</v>
      </c>
      <c r="C2">
        <v>45.9</v>
      </c>
    </row>
    <row r="3" spans="1:3" x14ac:dyDescent="0.3">
      <c r="A3" t="s">
        <v>4</v>
      </c>
      <c r="B3">
        <v>6301</v>
      </c>
      <c r="C3">
        <v>45.7</v>
      </c>
    </row>
    <row r="4" spans="1:3" x14ac:dyDescent="0.3">
      <c r="A4" t="s">
        <v>5</v>
      </c>
      <c r="B4">
        <v>2542</v>
      </c>
      <c r="C4">
        <v>45.8</v>
      </c>
    </row>
    <row r="5" spans="1:3" x14ac:dyDescent="0.3">
      <c r="A5" t="s">
        <v>6</v>
      </c>
      <c r="B5">
        <v>2519</v>
      </c>
      <c r="C5">
        <v>46.6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5F27-51BE-43FB-A4C8-51E6503703CD}">
  <dimension ref="A3:G12"/>
  <sheetViews>
    <sheetView workbookViewId="0">
      <selection activeCell="A3" sqref="A3"/>
    </sheetView>
  </sheetViews>
  <sheetFormatPr defaultRowHeight="14.4" x14ac:dyDescent="0.3"/>
  <cols>
    <col min="1" max="1" width="12.5546875" bestFit="1" customWidth="1"/>
    <col min="2" max="2" width="15.5546875" bestFit="1" customWidth="1"/>
    <col min="3" max="3" width="5.21875" bestFit="1" customWidth="1"/>
    <col min="4" max="4" width="20.77734375" bestFit="1" customWidth="1"/>
    <col min="5" max="5" width="5.21875" bestFit="1" customWidth="1"/>
    <col min="6" max="6" width="19.5546875" bestFit="1" customWidth="1"/>
    <col min="7" max="7" width="25.6640625" bestFit="1" customWidth="1"/>
  </cols>
  <sheetData>
    <row r="3" spans="1:7" x14ac:dyDescent="0.3">
      <c r="B3" s="1" t="s">
        <v>28</v>
      </c>
    </row>
    <row r="4" spans="1:7" x14ac:dyDescent="0.3">
      <c r="B4" t="s">
        <v>27</v>
      </c>
      <c r="D4" t="s">
        <v>25</v>
      </c>
      <c r="F4" t="s">
        <v>29</v>
      </c>
      <c r="G4" t="s">
        <v>30</v>
      </c>
    </row>
    <row r="5" spans="1:7" x14ac:dyDescent="0.3">
      <c r="A5" s="1" t="s">
        <v>23</v>
      </c>
      <c r="B5" t="s">
        <v>15</v>
      </c>
      <c r="C5" t="s">
        <v>17</v>
      </c>
      <c r="D5" t="s">
        <v>15</v>
      </c>
      <c r="E5" t="s">
        <v>17</v>
      </c>
    </row>
    <row r="6" spans="1:7" x14ac:dyDescent="0.3">
      <c r="A6" s="2" t="s">
        <v>19</v>
      </c>
      <c r="B6">
        <v>1</v>
      </c>
      <c r="C6">
        <v>1</v>
      </c>
      <c r="D6">
        <v>732</v>
      </c>
      <c r="E6">
        <v>741</v>
      </c>
      <c r="F6">
        <v>2</v>
      </c>
      <c r="G6">
        <v>1473</v>
      </c>
    </row>
    <row r="7" spans="1:7" x14ac:dyDescent="0.3">
      <c r="A7" s="2" t="s">
        <v>18</v>
      </c>
      <c r="B7">
        <v>1</v>
      </c>
      <c r="C7">
        <v>1</v>
      </c>
      <c r="D7">
        <v>754</v>
      </c>
      <c r="E7">
        <v>721</v>
      </c>
      <c r="F7">
        <v>2</v>
      </c>
      <c r="G7">
        <v>1475</v>
      </c>
    </row>
    <row r="8" spans="1:7" x14ac:dyDescent="0.3">
      <c r="A8" s="2" t="s">
        <v>21</v>
      </c>
      <c r="B8">
        <v>1</v>
      </c>
      <c r="D8">
        <v>726</v>
      </c>
      <c r="F8">
        <v>1</v>
      </c>
      <c r="G8">
        <v>726</v>
      </c>
    </row>
    <row r="9" spans="1:7" x14ac:dyDescent="0.3">
      <c r="A9" s="2" t="s">
        <v>22</v>
      </c>
      <c r="B9">
        <v>1</v>
      </c>
      <c r="C9">
        <v>1</v>
      </c>
      <c r="D9">
        <v>724</v>
      </c>
      <c r="E9">
        <v>722</v>
      </c>
      <c r="F9">
        <v>2</v>
      </c>
      <c r="G9">
        <v>1446</v>
      </c>
    </row>
    <row r="10" spans="1:7" x14ac:dyDescent="0.3">
      <c r="A10" s="2" t="s">
        <v>20</v>
      </c>
      <c r="C10">
        <v>1</v>
      </c>
      <c r="E10">
        <v>736</v>
      </c>
      <c r="F10">
        <v>1</v>
      </c>
      <c r="G10">
        <v>736</v>
      </c>
    </row>
    <row r="11" spans="1:7" x14ac:dyDescent="0.3">
      <c r="A11" s="2" t="s">
        <v>16</v>
      </c>
      <c r="B11">
        <v>1</v>
      </c>
      <c r="C11">
        <v>1</v>
      </c>
      <c r="D11">
        <v>799</v>
      </c>
      <c r="E11">
        <v>784</v>
      </c>
      <c r="F11">
        <v>2</v>
      </c>
      <c r="G11">
        <v>1583</v>
      </c>
    </row>
    <row r="12" spans="1:7" x14ac:dyDescent="0.3">
      <c r="A12" s="2" t="s">
        <v>24</v>
      </c>
      <c r="B12">
        <v>5</v>
      </c>
      <c r="C12">
        <v>5</v>
      </c>
      <c r="D12">
        <v>3735</v>
      </c>
      <c r="E12">
        <v>3704</v>
      </c>
      <c r="F12">
        <v>10</v>
      </c>
      <c r="G12">
        <v>7439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F73A-BDC6-48DA-B2EF-626A25AC253F}">
  <dimension ref="A3:C10"/>
  <sheetViews>
    <sheetView workbookViewId="0">
      <selection activeCell="A3" sqref="A3"/>
    </sheetView>
  </sheetViews>
  <sheetFormatPr defaultRowHeight="14.4" x14ac:dyDescent="0.3"/>
  <cols>
    <col min="1" max="1" width="12.5546875" bestFit="1" customWidth="1"/>
    <col min="2" max="2" width="20.77734375" bestFit="1" customWidth="1"/>
    <col min="3" max="3" width="14.77734375" bestFit="1" customWidth="1"/>
    <col min="4" max="4" width="10.77734375" bestFit="1" customWidth="1"/>
  </cols>
  <sheetData>
    <row r="3" spans="1:3" x14ac:dyDescent="0.3">
      <c r="A3" s="1" t="s">
        <v>23</v>
      </c>
      <c r="B3" t="s">
        <v>25</v>
      </c>
      <c r="C3" t="s">
        <v>27</v>
      </c>
    </row>
    <row r="4" spans="1:3" x14ac:dyDescent="0.3">
      <c r="A4" s="2" t="s">
        <v>19</v>
      </c>
      <c r="B4" s="3">
        <v>1473</v>
      </c>
      <c r="C4" s="3">
        <v>2</v>
      </c>
    </row>
    <row r="5" spans="1:3" x14ac:dyDescent="0.3">
      <c r="A5" s="2" t="s">
        <v>18</v>
      </c>
      <c r="B5" s="3">
        <v>1475</v>
      </c>
      <c r="C5" s="3">
        <v>2</v>
      </c>
    </row>
    <row r="6" spans="1:3" x14ac:dyDescent="0.3">
      <c r="A6" s="2" t="s">
        <v>21</v>
      </c>
      <c r="B6" s="3">
        <v>726</v>
      </c>
      <c r="C6" s="3">
        <v>1</v>
      </c>
    </row>
    <row r="7" spans="1:3" x14ac:dyDescent="0.3">
      <c r="A7" s="2" t="s">
        <v>22</v>
      </c>
      <c r="B7" s="3">
        <v>1446</v>
      </c>
      <c r="C7" s="3">
        <v>2</v>
      </c>
    </row>
    <row r="8" spans="1:3" x14ac:dyDescent="0.3">
      <c r="A8" s="2" t="s">
        <v>20</v>
      </c>
      <c r="B8" s="3">
        <v>736</v>
      </c>
      <c r="C8" s="3">
        <v>1</v>
      </c>
    </row>
    <row r="9" spans="1:3" x14ac:dyDescent="0.3">
      <c r="A9" s="2" t="s">
        <v>16</v>
      </c>
      <c r="B9" s="3">
        <v>1583</v>
      </c>
      <c r="C9" s="3">
        <v>2</v>
      </c>
    </row>
    <row r="10" spans="1:3" x14ac:dyDescent="0.3">
      <c r="A10" s="2" t="s">
        <v>24</v>
      </c>
      <c r="B10" s="3">
        <v>7439</v>
      </c>
      <c r="C10" s="3">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3754-7F71-443F-96D1-2FA38DEA7150}">
  <dimension ref="A1:C11"/>
  <sheetViews>
    <sheetView workbookViewId="0">
      <selection activeCell="A2" sqref="A2"/>
    </sheetView>
  </sheetViews>
  <sheetFormatPr defaultRowHeight="14.4" x14ac:dyDescent="0.3"/>
  <cols>
    <col min="1" max="1" width="16" customWidth="1"/>
    <col min="3" max="3" width="15.88671875" customWidth="1"/>
  </cols>
  <sheetData>
    <row r="1" spans="1:3" x14ac:dyDescent="0.3">
      <c r="A1" t="s">
        <v>1</v>
      </c>
      <c r="B1" t="s">
        <v>13</v>
      </c>
      <c r="C1" t="s">
        <v>14</v>
      </c>
    </row>
    <row r="2" spans="1:3" x14ac:dyDescent="0.3">
      <c r="A2">
        <v>799</v>
      </c>
      <c r="B2" t="s">
        <v>15</v>
      </c>
      <c r="C2" t="s">
        <v>16</v>
      </c>
    </row>
    <row r="3" spans="1:3" x14ac:dyDescent="0.3">
      <c r="A3">
        <v>784</v>
      </c>
      <c r="B3" t="s">
        <v>17</v>
      </c>
      <c r="C3" t="s">
        <v>16</v>
      </c>
    </row>
    <row r="4" spans="1:3" x14ac:dyDescent="0.3">
      <c r="A4">
        <v>754</v>
      </c>
      <c r="B4" t="s">
        <v>15</v>
      </c>
      <c r="C4" t="s">
        <v>18</v>
      </c>
    </row>
    <row r="5" spans="1:3" x14ac:dyDescent="0.3">
      <c r="A5">
        <v>741</v>
      </c>
      <c r="B5" t="s">
        <v>17</v>
      </c>
      <c r="C5" t="s">
        <v>19</v>
      </c>
    </row>
    <row r="6" spans="1:3" x14ac:dyDescent="0.3">
      <c r="A6">
        <v>736</v>
      </c>
      <c r="B6" t="s">
        <v>17</v>
      </c>
      <c r="C6" t="s">
        <v>20</v>
      </c>
    </row>
    <row r="7" spans="1:3" x14ac:dyDescent="0.3">
      <c r="A7">
        <v>732</v>
      </c>
      <c r="B7" t="s">
        <v>15</v>
      </c>
      <c r="C7" t="s">
        <v>19</v>
      </c>
    </row>
    <row r="8" spans="1:3" x14ac:dyDescent="0.3">
      <c r="A8">
        <v>726</v>
      </c>
      <c r="B8" t="s">
        <v>15</v>
      </c>
      <c r="C8" t="s">
        <v>21</v>
      </c>
    </row>
    <row r="9" spans="1:3" x14ac:dyDescent="0.3">
      <c r="A9">
        <v>724</v>
      </c>
      <c r="B9" t="s">
        <v>15</v>
      </c>
      <c r="C9" t="s">
        <v>22</v>
      </c>
    </row>
    <row r="10" spans="1:3" x14ac:dyDescent="0.3">
      <c r="A10">
        <v>722</v>
      </c>
      <c r="B10" t="s">
        <v>17</v>
      </c>
      <c r="C10" t="s">
        <v>22</v>
      </c>
    </row>
    <row r="11" spans="1:3" x14ac:dyDescent="0.3">
      <c r="A11">
        <v>721</v>
      </c>
      <c r="B11" t="s">
        <v>17</v>
      </c>
      <c r="C11" t="s">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BC74-B90D-4F3C-BA13-9D608631F9C1}">
  <dimension ref="A3:B9"/>
  <sheetViews>
    <sheetView workbookViewId="0">
      <selection activeCell="T11" sqref="T11"/>
    </sheetView>
  </sheetViews>
  <sheetFormatPr defaultRowHeight="14.4" x14ac:dyDescent="0.3"/>
  <cols>
    <col min="1" max="1" width="12.5546875" bestFit="1" customWidth="1"/>
    <col min="2" max="2" width="20.77734375" bestFit="1" customWidth="1"/>
  </cols>
  <sheetData>
    <row r="3" spans="1:2" x14ac:dyDescent="0.3">
      <c r="A3" s="1" t="s">
        <v>23</v>
      </c>
      <c r="B3" t="s">
        <v>25</v>
      </c>
    </row>
    <row r="4" spans="1:2" x14ac:dyDescent="0.3">
      <c r="A4" s="2" t="s">
        <v>9</v>
      </c>
      <c r="B4" s="3">
        <v>5358</v>
      </c>
    </row>
    <row r="5" spans="1:2" x14ac:dyDescent="0.3">
      <c r="A5" s="2" t="s">
        <v>11</v>
      </c>
      <c r="B5" s="3">
        <v>3874</v>
      </c>
    </row>
    <row r="6" spans="1:2" x14ac:dyDescent="0.3">
      <c r="A6" s="2" t="s">
        <v>12</v>
      </c>
      <c r="B6" s="3">
        <v>3022</v>
      </c>
    </row>
    <row r="7" spans="1:2" x14ac:dyDescent="0.3">
      <c r="A7" s="2" t="s">
        <v>8</v>
      </c>
      <c r="B7" s="3">
        <v>7996</v>
      </c>
    </row>
    <row r="8" spans="1:2" x14ac:dyDescent="0.3">
      <c r="A8" s="2" t="s">
        <v>10</v>
      </c>
      <c r="B8" s="3">
        <v>4750</v>
      </c>
    </row>
    <row r="9" spans="1:2" x14ac:dyDescent="0.3">
      <c r="A9" s="2" t="s">
        <v>24</v>
      </c>
      <c r="B9" s="3">
        <v>25000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1922-93B2-475B-957E-4644E130BC1D}">
  <dimension ref="A3:B9"/>
  <sheetViews>
    <sheetView workbookViewId="0">
      <selection activeCell="A3" sqref="A3"/>
    </sheetView>
  </sheetViews>
  <sheetFormatPr defaultRowHeight="14.4" x14ac:dyDescent="0.3"/>
  <cols>
    <col min="1" max="1" width="12.5546875" bestFit="1" customWidth="1"/>
    <col min="2" max="2" width="20.77734375" bestFit="1" customWidth="1"/>
  </cols>
  <sheetData>
    <row r="3" spans="1:2" x14ac:dyDescent="0.3">
      <c r="A3" s="1" t="s">
        <v>23</v>
      </c>
      <c r="B3" t="s">
        <v>25</v>
      </c>
    </row>
    <row r="4" spans="1:2" x14ac:dyDescent="0.3">
      <c r="A4" s="2" t="s">
        <v>9</v>
      </c>
      <c r="B4" s="3">
        <v>5358</v>
      </c>
    </row>
    <row r="5" spans="1:2" x14ac:dyDescent="0.3">
      <c r="A5" s="2" t="s">
        <v>11</v>
      </c>
      <c r="B5" s="3">
        <v>3874</v>
      </c>
    </row>
    <row r="6" spans="1:2" x14ac:dyDescent="0.3">
      <c r="A6" s="2" t="s">
        <v>12</v>
      </c>
      <c r="B6" s="3">
        <v>3022</v>
      </c>
    </row>
    <row r="7" spans="1:2" x14ac:dyDescent="0.3">
      <c r="A7" s="2" t="s">
        <v>8</v>
      </c>
      <c r="B7" s="3">
        <v>7996</v>
      </c>
    </row>
    <row r="8" spans="1:2" x14ac:dyDescent="0.3">
      <c r="A8" s="2" t="s">
        <v>10</v>
      </c>
      <c r="B8" s="3">
        <v>4750</v>
      </c>
    </row>
    <row r="9" spans="1:2" x14ac:dyDescent="0.3">
      <c r="A9" s="2" t="s">
        <v>24</v>
      </c>
      <c r="B9" s="3">
        <v>25000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18C6-2498-4E32-A116-B0A74A08E246}">
  <dimension ref="A1:B6"/>
  <sheetViews>
    <sheetView workbookViewId="0">
      <selection activeCell="B4" sqref="B4"/>
    </sheetView>
  </sheetViews>
  <sheetFormatPr defaultRowHeight="14.4" x14ac:dyDescent="0.3"/>
  <cols>
    <col min="2" max="2" width="16" customWidth="1"/>
  </cols>
  <sheetData>
    <row r="1" spans="1:2" x14ac:dyDescent="0.3">
      <c r="A1" t="s">
        <v>7</v>
      </c>
      <c r="B1" t="s">
        <v>1</v>
      </c>
    </row>
    <row r="2" spans="1:2" x14ac:dyDescent="0.3">
      <c r="A2" t="s">
        <v>8</v>
      </c>
      <c r="B2">
        <v>7996</v>
      </c>
    </row>
    <row r="3" spans="1:2" x14ac:dyDescent="0.3">
      <c r="A3" t="s">
        <v>9</v>
      </c>
      <c r="B3">
        <v>5358</v>
      </c>
    </row>
    <row r="4" spans="1:2" x14ac:dyDescent="0.3">
      <c r="A4" t="s">
        <v>10</v>
      </c>
      <c r="B4">
        <v>4750</v>
      </c>
    </row>
    <row r="5" spans="1:2" x14ac:dyDescent="0.3">
      <c r="A5" t="s">
        <v>11</v>
      </c>
      <c r="B5">
        <v>3874</v>
      </c>
    </row>
    <row r="6" spans="1:2" x14ac:dyDescent="0.3">
      <c r="A6" t="s">
        <v>12</v>
      </c>
      <c r="B6">
        <v>3022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9BFA-C6AB-4A72-912A-A670BAD747D8}">
  <dimension ref="A1:K8"/>
  <sheetViews>
    <sheetView workbookViewId="0">
      <selection activeCell="I1" sqref="I1"/>
    </sheetView>
  </sheetViews>
  <sheetFormatPr defaultRowHeight="14.4" x14ac:dyDescent="0.3"/>
  <cols>
    <col min="1" max="1" width="12.5546875" bestFit="1" customWidth="1"/>
    <col min="2" max="2" width="20.77734375" bestFit="1" customWidth="1"/>
    <col min="3" max="3" width="32.21875" bestFit="1" customWidth="1"/>
    <col min="5" max="5" width="12.5546875" bestFit="1" customWidth="1"/>
    <col min="6" max="6" width="20.77734375" bestFit="1" customWidth="1"/>
    <col min="9" max="9" width="12.5546875" bestFit="1" customWidth="1"/>
    <col min="10" max="10" width="20.77734375" bestFit="1" customWidth="1"/>
    <col min="11" max="11" width="14.77734375" bestFit="1" customWidth="1"/>
  </cols>
  <sheetData>
    <row r="1" spans="1:11" x14ac:dyDescent="0.3">
      <c r="A1" s="1" t="s">
        <v>23</v>
      </c>
      <c r="B1" t="s">
        <v>25</v>
      </c>
      <c r="C1" t="s">
        <v>26</v>
      </c>
      <c r="E1" s="1" t="s">
        <v>23</v>
      </c>
      <c r="F1" t="s">
        <v>25</v>
      </c>
      <c r="I1" s="1" t="s">
        <v>23</v>
      </c>
      <c r="J1" t="s">
        <v>25</v>
      </c>
      <c r="K1" t="s">
        <v>27</v>
      </c>
    </row>
    <row r="2" spans="1:11" x14ac:dyDescent="0.3">
      <c r="A2" s="2" t="s">
        <v>6</v>
      </c>
      <c r="B2">
        <v>2519</v>
      </c>
      <c r="C2">
        <v>46.6</v>
      </c>
      <c r="E2" s="2" t="s">
        <v>9</v>
      </c>
      <c r="F2" s="3">
        <v>5358</v>
      </c>
      <c r="I2" s="2" t="s">
        <v>19</v>
      </c>
      <c r="J2">
        <v>1473</v>
      </c>
      <c r="K2">
        <v>2</v>
      </c>
    </row>
    <row r="3" spans="1:11" x14ac:dyDescent="0.3">
      <c r="A3" s="2" t="s">
        <v>3</v>
      </c>
      <c r="B3">
        <v>13638</v>
      </c>
      <c r="C3">
        <v>45.9</v>
      </c>
      <c r="E3" s="2" t="s">
        <v>11</v>
      </c>
      <c r="F3" s="3">
        <v>3874</v>
      </c>
      <c r="I3" s="2" t="s">
        <v>18</v>
      </c>
      <c r="J3">
        <v>1475</v>
      </c>
      <c r="K3">
        <v>2</v>
      </c>
    </row>
    <row r="4" spans="1:11" x14ac:dyDescent="0.3">
      <c r="A4" s="2" t="s">
        <v>4</v>
      </c>
      <c r="B4">
        <v>6301</v>
      </c>
      <c r="C4">
        <v>45.7</v>
      </c>
      <c r="E4" s="2" t="s">
        <v>12</v>
      </c>
      <c r="F4" s="3">
        <v>3022</v>
      </c>
      <c r="I4" s="2" t="s">
        <v>21</v>
      </c>
      <c r="J4">
        <v>726</v>
      </c>
      <c r="K4">
        <v>1</v>
      </c>
    </row>
    <row r="5" spans="1:11" x14ac:dyDescent="0.3">
      <c r="A5" s="2" t="s">
        <v>5</v>
      </c>
      <c r="B5">
        <v>2542</v>
      </c>
      <c r="C5">
        <v>45.8</v>
      </c>
      <c r="E5" s="2" t="s">
        <v>8</v>
      </c>
      <c r="F5" s="3">
        <v>7996</v>
      </c>
      <c r="I5" s="2" t="s">
        <v>22</v>
      </c>
      <c r="J5">
        <v>1446</v>
      </c>
      <c r="K5">
        <v>2</v>
      </c>
    </row>
    <row r="6" spans="1:11" x14ac:dyDescent="0.3">
      <c r="A6" s="2" t="s">
        <v>24</v>
      </c>
      <c r="B6">
        <v>25000</v>
      </c>
      <c r="C6">
        <v>184</v>
      </c>
      <c r="E6" s="2" t="s">
        <v>10</v>
      </c>
      <c r="F6" s="3">
        <v>4750</v>
      </c>
      <c r="I6" s="2" t="s">
        <v>20</v>
      </c>
      <c r="J6">
        <v>736</v>
      </c>
      <c r="K6">
        <v>1</v>
      </c>
    </row>
    <row r="7" spans="1:11" x14ac:dyDescent="0.3">
      <c r="E7" s="2" t="s">
        <v>24</v>
      </c>
      <c r="F7" s="3">
        <v>25000</v>
      </c>
      <c r="I7" s="2" t="s">
        <v>16</v>
      </c>
      <c r="J7">
        <v>1583</v>
      </c>
      <c r="K7">
        <v>2</v>
      </c>
    </row>
    <row r="8" spans="1:11" x14ac:dyDescent="0.3">
      <c r="I8" s="2" t="s">
        <v>24</v>
      </c>
      <c r="J8">
        <v>7439</v>
      </c>
      <c r="K8">
        <v>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E732-EB54-442A-962C-9934985A18F5}">
  <dimension ref="A1"/>
  <sheetViews>
    <sheetView showGridLines="0" tabSelected="1" topLeftCell="A143" workbookViewId="0">
      <selection activeCell="T162" sqref="T16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Data_Source</vt:lpstr>
      <vt:lpstr>Sheet7</vt:lpstr>
      <vt:lpstr>Sheet1</vt:lpstr>
      <vt:lpstr>Segments</vt:lpstr>
      <vt:lpstr>Sheet8</vt:lpstr>
      <vt:lpstr>Sheet10</vt:lpstr>
      <vt:lpstr>States</vt:lpstr>
      <vt:lpstr>Sheet9</vt:lpstr>
      <vt:lpstr>Sheet2</vt:lpstr>
      <vt:lpstr>Region</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agarwal</dc:creator>
  <cp:lastModifiedBy>Mayank agarwal</cp:lastModifiedBy>
  <dcterms:created xsi:type="dcterms:W3CDTF">2026-09-15T04:49:43Z</dcterms:created>
  <dcterms:modified xsi:type="dcterms:W3CDTF">2026-09-16T04:54:44Z</dcterms:modified>
</cp:coreProperties>
</file>